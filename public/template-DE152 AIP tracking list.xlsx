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jamie_zhang_lta_gov_sg/Documents/Desktop/DE152/02_DESIGN/3. AIP/AIP preparation to AC/"/>
    </mc:Choice>
  </mc:AlternateContent>
  <xr:revisionPtr revIDLastSave="0" documentId="8_{0004ACF1-B8A2-47A7-AD06-89E1ADCC60D2}" xr6:coauthVersionLast="47" xr6:coauthVersionMax="47" xr10:uidLastSave="{00000000-0000-0000-0000-000000000000}"/>
  <bookViews>
    <workbookView xWindow="-110" yWindow="-110" windowWidth="19420" windowHeight="11500" xr2:uid="{EB514E8B-478A-4B8F-B73E-48359D32604F}"/>
  </bookViews>
  <sheets>
    <sheet name="A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" i="2" l="1"/>
  <c r="O5" i="2"/>
  <c r="O6" i="2"/>
  <c r="O10" i="2"/>
  <c r="G13" i="2"/>
  <c r="G14" i="2"/>
  <c r="G12" i="2"/>
  <c r="G11" i="2"/>
  <c r="G10" i="2"/>
  <c r="G8" i="2"/>
  <c r="G9" i="2"/>
  <c r="G7" i="2"/>
  <c r="G6" i="2"/>
  <c r="G5" i="2"/>
</calcChain>
</file>

<file path=xl/sharedStrings.xml><?xml version="1.0" encoding="utf-8"?>
<sst xmlns="http://schemas.openxmlformats.org/spreadsheetml/2006/main" count="110" uniqueCount="59">
  <si>
    <t>AIP NAME</t>
  </si>
  <si>
    <t>LTA expected submission date</t>
  </si>
  <si>
    <t>LTA actual submission date</t>
  </si>
  <si>
    <t>Rev -</t>
  </si>
  <si>
    <t>Rev A</t>
  </si>
  <si>
    <t>Rev B</t>
  </si>
  <si>
    <t>BES:
GTT:</t>
  </si>
  <si>
    <t>AC expected submission date</t>
  </si>
  <si>
    <t>AC actual submission date</t>
  </si>
  <si>
    <t>BES:
GTT:
Others:</t>
  </si>
  <si>
    <t>AIP A3-1 New Flyover MC209 across ECP</t>
  </si>
  <si>
    <t>Prepared by</t>
  </si>
  <si>
    <t>Submission reference number</t>
  </si>
  <si>
    <t>Vidge</t>
  </si>
  <si>
    <t>AIP A3-1 New Flyover Across ECP &amp; CADC(MC211 , MC211A)</t>
  </si>
  <si>
    <t>Status</t>
  </si>
  <si>
    <t xml:space="preserve">AIP A1-1: Extension of existing Pedestrian Underpass No. 10 across ECP and associated ramps, staircases with shelters. </t>
  </si>
  <si>
    <t>BES:Rejected
GTT: Rejected</t>
  </si>
  <si>
    <t>BES: Rejected
GTT: Rejected</t>
  </si>
  <si>
    <r>
      <rPr>
        <i/>
        <sz val="11"/>
        <color theme="1"/>
        <rFont val="Aptos Narrow"/>
        <family val="2"/>
        <scheme val="minor"/>
      </rPr>
      <t>AIP A1-1:New Vehicular Depressed Roads (MC212, MC215A), underpasses and Vehicular Tunnels (MC215) undercrossing ECP and CADC</t>
    </r>
    <r>
      <rPr>
        <sz val="11"/>
        <color theme="1"/>
        <rFont val="Aptos Narrow"/>
        <family val="2"/>
        <scheme val="minor"/>
      </rPr>
      <t xml:space="preserve">
AIP A1-1: New Vehicular Depressed Roads (MC204, MC207, MC212, MC215A), underpasses and Vehicular Tunnels (MC206, MC215) undercrossing ECP and CADC (combined)</t>
    </r>
  </si>
  <si>
    <r>
      <t xml:space="preserve">
</t>
    </r>
    <r>
      <rPr>
        <i/>
        <sz val="11"/>
        <color theme="1"/>
        <rFont val="Aptos Narrow"/>
        <family val="2"/>
        <scheme val="minor"/>
      </rPr>
      <t>AIP A1-1: New Vehicular Depressed Roads (MC204, MC207), underpasses and Vehicular Tunnels (MC206) undercrossing ECP and CADC</t>
    </r>
    <r>
      <rPr>
        <sz val="11"/>
        <color theme="1"/>
        <rFont val="Aptos Narrow"/>
        <family val="2"/>
        <scheme val="minor"/>
      </rPr>
      <t xml:space="preserve">
AIP A1-1: New Vehicular Depressed Roads( MC204, MC207, MC212, MC215A), underpasses and Vehicular Tunnels(MC206, MC215) undercrossing ECP and CADC(combined)</t>
    </r>
  </si>
  <si>
    <t>AIP 1-3: RC culverts, RC drains and sump</t>
  </si>
  <si>
    <t>PH</t>
  </si>
  <si>
    <t>AIP A2-1: Temporary Works for Deep Excavation A4</t>
  </si>
  <si>
    <t>AIP A2-2: Permanent ERSS</t>
  </si>
  <si>
    <t>AIP A3-2: New Facility Buildings for Vehicular Tunnels and Underpasses</t>
  </si>
  <si>
    <t>AIP A6: New traffic signages including support and foundation including the portal and cantilever gantries with outreach over carriageways</t>
  </si>
  <si>
    <t>2026/DE152/LTA/0009
AIP Batch 2(MC204, MC207, MC212, MC215A, MC206, MC215)(Email)</t>
  </si>
  <si>
    <t>2026/DE152/LTA/0009
AIP Batch 2(Pedestrain Underpass No.10)(Email)</t>
  </si>
  <si>
    <t>2026/DE152/LTA/0014
AIP Batch 4
(part 1/2)
(part 2/3)
(part 3/3) (Email)</t>
  </si>
  <si>
    <t>2026/DE152/LTA/0015
AIP Batch 5 (Email)</t>
  </si>
  <si>
    <t>New Vehicular Bridges across CADC and drainage reserve</t>
  </si>
  <si>
    <t>New Widening/deepening/ reconstruction of CADC</t>
  </si>
  <si>
    <t>BES:6 Aug 2026
GTT:20 July 2026
[DE152-DES-0001b]
Others: NA</t>
  </si>
  <si>
    <r>
      <rPr>
        <sz val="11"/>
        <rFont val="Aptos Narrow"/>
        <family val="2"/>
        <scheme val="minor"/>
      </rPr>
      <t>BES:14 Aug 2026</t>
    </r>
    <r>
      <rPr>
        <sz val="11"/>
        <color theme="1"/>
        <rFont val="Aptos Narrow"/>
        <family val="2"/>
        <scheme val="minor"/>
      </rPr>
      <t xml:space="preserve">
GTT:20 July 2026
[DE152-DES-0001a]
Others: NA</t>
    </r>
  </si>
  <si>
    <t>No</t>
  </si>
  <si>
    <t>BES:5 Aug 2026
GTT: 28 Jul 2026
Others: NA</t>
  </si>
  <si>
    <t>BES:26 Aug 2026
GTT: 28 Jul 2026
Others: NA</t>
  </si>
  <si>
    <t>BES: AC
GTT:Rejected</t>
  </si>
  <si>
    <t>BES:AC
GTT:Rejected</t>
  </si>
  <si>
    <t>BES: AC
GTT: AC</t>
  </si>
  <si>
    <t>BES:5 Aug 2026
GTT: 30 Jul 2026
Others: NA</t>
  </si>
  <si>
    <t>BES: AC
GTT: Rejected</t>
  </si>
  <si>
    <t>BES:26 Aug 2026
GTT:31 Jul 2026
Others: NA</t>
  </si>
  <si>
    <t xml:space="preserve">BES: Rejected
GTT: Rejected
</t>
  </si>
  <si>
    <t xml:space="preserve">BES:
GTT: </t>
  </si>
  <si>
    <t xml:space="preserve">BES: 
GTT: </t>
  </si>
  <si>
    <t xml:space="preserve">BES: 
GTT: 
</t>
  </si>
  <si>
    <t>BES: 
GTT:</t>
  </si>
  <si>
    <t>2026/DE152/LTA/0013
AIP Batch 3 (Email)
DE152-CSKJV-DD-PSM-0005(Insight)</t>
  </si>
  <si>
    <t>2026/DE152/LTA/0007[AIP SUBMISSION BATCH 1 (MC209 AND MC211)](Email)
DE152-CSKJV-DD-PJM-0004(Insight)</t>
  </si>
  <si>
    <t>2026/DE152/LTA/0015
AIP Batch 5 (Email)
DE152-CSKJV-DD-PJM-0002(Insight)</t>
  </si>
  <si>
    <t xml:space="preserve">2026/DE152/LTA/0007[AIP SUBMISSION BATCH 1 (MC209 AND MC211)](Email)
DE152-CSKJV-DD-PJM-0003(Insight)
</t>
  </si>
  <si>
    <t>CONTRACT DE152
ENHANCEMENT OF XILIN
AVE, ECP AND TANAH MERAH
COAST ROAD BETWEEN
LAGUNA GOLF GREEN AND
CHANGI COAST WALK</t>
  </si>
  <si>
    <t xml:space="preserve"> Contractor Expected submission date </t>
  </si>
  <si>
    <t xml:space="preserve"> Contractor Actual submission date</t>
  </si>
  <si>
    <t>LTA 
actual submission date</t>
  </si>
  <si>
    <t>Actual Contractor  submission date</t>
  </si>
  <si>
    <t>AIP Tracking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</si>
</sst>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" xfId="0" applyBorder="1" applyAlignment="1">
      <alignment wrapText="1"/>
    </xf>
    <xf numFmtId="15" fontId="0" fillId="0" borderId="13" xfId="0" applyNumberFormat="1" applyBorder="1" applyAlignment="1">
      <alignment vertical="center"/>
    </xf>
    <xf numFmtId="15" fontId="0" fillId="0" borderId="13" xfId="0" applyNumberForma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5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2" xfId="0" applyBorder="1"/>
    <xf numFmtId="14" fontId="0" fillId="0" borderId="22" xfId="0" applyNumberFormat="1" applyBorder="1"/>
    <xf numFmtId="14" fontId="0" fillId="0" borderId="22" xfId="0" applyNumberForma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" xfId="0" applyBorder="1"/>
    <xf numFmtId="14" fontId="0" fillId="0" borderId="2" xfId="0" applyNumberFormat="1" applyBorder="1"/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15" fontId="0" fillId="0" borderId="2" xfId="0" applyNumberFormat="1" applyBorder="1"/>
    <xf numFmtId="0" fontId="0" fillId="0" borderId="23" xfId="0" applyBorder="1"/>
    <xf numFmtId="0" fontId="0" fillId="0" borderId="13" xfId="0" applyBorder="1"/>
    <xf numFmtId="0" fontId="0" fillId="0" borderId="3" xfId="0" applyBorder="1"/>
    <xf numFmtId="14" fontId="0" fillId="0" borderId="1" xfId="0" applyNumberFormat="1" applyBorder="1"/>
    <xf numFmtId="0" fontId="0" fillId="2" borderId="1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A538-0EB3-485D-BCD5-FC6F7B6CC966}">
  <dimension ref="A1:AN1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4.5" x14ac:dyDescent="0.35"/>
  <cols>
    <col min="2" max="2" width="57.453125" customWidth="1"/>
    <col min="3" max="3" width="13.08984375" customWidth="1"/>
    <col min="4" max="4" width="25.90625" customWidth="1"/>
    <col min="5" max="5" width="16.1796875" customWidth="1"/>
    <col min="6" max="6" width="10.453125" customWidth="1"/>
    <col min="7" max="7" width="10.7265625" customWidth="1"/>
    <col min="8" max="8" width="11.1796875" customWidth="1"/>
    <col min="9" max="9" width="12" customWidth="1"/>
    <col min="10" max="12" width="10.7265625" customWidth="1"/>
    <col min="13" max="13" width="16.1796875" customWidth="1"/>
    <col min="14" max="14" width="10.453125" customWidth="1"/>
    <col min="15" max="15" width="10.08984375" bestFit="1" customWidth="1"/>
    <col min="16" max="16" width="10.7265625" customWidth="1"/>
    <col min="17" max="17" width="12" customWidth="1"/>
    <col min="18" max="20" width="10.7265625" customWidth="1"/>
    <col min="21" max="21" width="16.1796875" customWidth="1"/>
    <col min="22" max="22" width="10.453125" customWidth="1"/>
    <col min="23" max="23" width="9.08984375" bestFit="1" customWidth="1"/>
    <col min="24" max="24" width="10.7265625" customWidth="1"/>
    <col min="25" max="25" width="12" customWidth="1"/>
    <col min="26" max="28" width="10.7265625" customWidth="1"/>
    <col min="29" max="29" width="16.1796875" customWidth="1"/>
    <col min="30" max="30" width="10.453125" customWidth="1"/>
    <col min="32" max="34" width="10.7265625" customWidth="1"/>
    <col min="35" max="35" width="16.1796875" customWidth="1"/>
    <col min="36" max="36" width="10.453125" customWidth="1"/>
    <col min="38" max="40" width="10.7265625" customWidth="1"/>
  </cols>
  <sheetData>
    <row r="1" spans="1:40" ht="14.5" customHeight="1" x14ac:dyDescent="0.35">
      <c r="A1" s="62" t="s">
        <v>53</v>
      </c>
      <c r="B1" s="62"/>
      <c r="C1" s="62"/>
      <c r="D1" s="62"/>
      <c r="E1" s="62"/>
      <c r="F1" s="62"/>
      <c r="G1" s="62"/>
    </row>
    <row r="2" spans="1:40" ht="15" thickBot="1" x14ac:dyDescent="0.4">
      <c r="B2" t="s">
        <v>58</v>
      </c>
    </row>
    <row r="3" spans="1:40" ht="15" thickBot="1" x14ac:dyDescent="0.4">
      <c r="A3" s="50" t="s">
        <v>35</v>
      </c>
      <c r="B3" s="51" t="s">
        <v>0</v>
      </c>
      <c r="C3" s="51" t="s">
        <v>11</v>
      </c>
      <c r="D3" s="52" t="s">
        <v>12</v>
      </c>
      <c r="E3" s="53" t="s">
        <v>3</v>
      </c>
      <c r="F3" s="53"/>
      <c r="G3" s="53"/>
      <c r="H3" s="53"/>
      <c r="I3" s="53"/>
      <c r="J3" s="53"/>
      <c r="K3" s="53"/>
      <c r="L3" s="54"/>
      <c r="M3" s="55" t="s">
        <v>4</v>
      </c>
      <c r="N3" s="53"/>
      <c r="O3" s="53"/>
      <c r="P3" s="53"/>
      <c r="Q3" s="53"/>
      <c r="R3" s="53"/>
      <c r="S3" s="53"/>
      <c r="T3" s="54"/>
      <c r="U3" s="55" t="s">
        <v>5</v>
      </c>
      <c r="V3" s="53"/>
      <c r="W3" s="53"/>
      <c r="X3" s="53"/>
      <c r="Y3" s="53"/>
      <c r="Z3" s="53"/>
      <c r="AA3" s="53"/>
      <c r="AB3" s="54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59" thickTop="1" thickBot="1" x14ac:dyDescent="0.4">
      <c r="A4" s="56"/>
      <c r="B4" s="57"/>
      <c r="C4" s="57"/>
      <c r="D4" s="58"/>
      <c r="E4" s="59" t="s">
        <v>54</v>
      </c>
      <c r="F4" s="60" t="s">
        <v>55</v>
      </c>
      <c r="G4" s="60" t="s">
        <v>1</v>
      </c>
      <c r="H4" s="60" t="s">
        <v>56</v>
      </c>
      <c r="I4" s="60" t="s">
        <v>15</v>
      </c>
      <c r="J4" s="60" t="s">
        <v>7</v>
      </c>
      <c r="K4" s="60" t="s">
        <v>8</v>
      </c>
      <c r="L4" s="60" t="s">
        <v>15</v>
      </c>
      <c r="M4" s="60" t="s">
        <v>54</v>
      </c>
      <c r="N4" s="60" t="s">
        <v>57</v>
      </c>
      <c r="O4" s="60" t="s">
        <v>1</v>
      </c>
      <c r="P4" s="60" t="s">
        <v>2</v>
      </c>
      <c r="Q4" s="60" t="s">
        <v>15</v>
      </c>
      <c r="R4" s="60" t="s">
        <v>7</v>
      </c>
      <c r="S4" s="60" t="s">
        <v>8</v>
      </c>
      <c r="T4" s="60" t="s">
        <v>15</v>
      </c>
      <c r="U4" s="60" t="s">
        <v>54</v>
      </c>
      <c r="V4" s="60" t="s">
        <v>55</v>
      </c>
      <c r="W4" s="60" t="s">
        <v>1</v>
      </c>
      <c r="X4" s="60" t="s">
        <v>2</v>
      </c>
      <c r="Y4" s="60" t="s">
        <v>15</v>
      </c>
      <c r="Z4" s="60" t="s">
        <v>7</v>
      </c>
      <c r="AA4" s="60" t="s">
        <v>8</v>
      </c>
      <c r="AB4" s="61" t="s">
        <v>15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02.5" thickTop="1" thickBot="1" x14ac:dyDescent="0.4">
      <c r="A5" s="11">
        <v>1</v>
      </c>
      <c r="B5" s="12" t="s">
        <v>10</v>
      </c>
      <c r="C5" s="12" t="s">
        <v>13</v>
      </c>
      <c r="D5" s="13" t="s">
        <v>52</v>
      </c>
      <c r="E5" s="11"/>
      <c r="F5" s="27">
        <v>46206</v>
      </c>
      <c r="G5" s="28">
        <f>F5+28</f>
        <v>46234</v>
      </c>
      <c r="H5" s="29" t="s">
        <v>34</v>
      </c>
      <c r="I5" s="29" t="s">
        <v>17</v>
      </c>
      <c r="J5" s="29"/>
      <c r="K5" s="29"/>
      <c r="L5" s="30"/>
      <c r="M5" s="37"/>
      <c r="N5" s="38">
        <v>46275</v>
      </c>
      <c r="O5" s="39">
        <f>N5+28</f>
        <v>46303</v>
      </c>
      <c r="P5" s="40" t="s">
        <v>9</v>
      </c>
      <c r="Q5" s="40" t="s">
        <v>45</v>
      </c>
      <c r="R5" s="38">
        <v>46304</v>
      </c>
      <c r="S5" s="40"/>
      <c r="T5" s="40"/>
      <c r="U5" s="46"/>
      <c r="V5" s="47"/>
      <c r="W5" s="24"/>
      <c r="X5" s="24"/>
      <c r="Y5" s="24"/>
      <c r="Z5" s="24"/>
      <c r="AA5" s="24"/>
      <c r="AB5" s="25"/>
      <c r="AE5" s="3"/>
      <c r="AF5" s="3"/>
      <c r="AG5" s="3"/>
      <c r="AH5" s="3"/>
      <c r="AK5" s="3"/>
      <c r="AL5" s="3"/>
      <c r="AM5" s="3"/>
      <c r="AN5" s="3"/>
    </row>
    <row r="6" spans="1:40" ht="102" thickBot="1" x14ac:dyDescent="0.4">
      <c r="A6" s="14">
        <v>2</v>
      </c>
      <c r="B6" s="15" t="s">
        <v>14</v>
      </c>
      <c r="C6" s="15" t="s">
        <v>13</v>
      </c>
      <c r="D6" s="16" t="s">
        <v>50</v>
      </c>
      <c r="E6" s="14"/>
      <c r="F6" s="31">
        <v>46206</v>
      </c>
      <c r="G6" s="32">
        <f>F6+28</f>
        <v>46234</v>
      </c>
      <c r="H6" s="17" t="s">
        <v>33</v>
      </c>
      <c r="I6" s="17" t="s">
        <v>18</v>
      </c>
      <c r="J6" s="15"/>
      <c r="K6" s="15"/>
      <c r="L6" s="33"/>
      <c r="M6" s="41"/>
      <c r="N6" s="42">
        <v>46279</v>
      </c>
      <c r="O6" s="43">
        <f>N6+28</f>
        <v>46307</v>
      </c>
      <c r="P6" s="44" t="s">
        <v>9</v>
      </c>
      <c r="Q6" s="44" t="s">
        <v>46</v>
      </c>
      <c r="R6" s="42">
        <v>46304</v>
      </c>
      <c r="S6" s="41"/>
      <c r="T6" s="41"/>
      <c r="U6" s="48"/>
      <c r="V6" s="6"/>
      <c r="W6" s="6"/>
      <c r="X6" s="6"/>
      <c r="Y6" s="26"/>
      <c r="Z6" s="6"/>
      <c r="AA6" s="6"/>
      <c r="AB6" s="7"/>
    </row>
    <row r="7" spans="1:40" ht="116.5" thickBot="1" x14ac:dyDescent="0.4">
      <c r="A7" s="14">
        <v>3</v>
      </c>
      <c r="B7" s="17" t="s">
        <v>20</v>
      </c>
      <c r="C7" s="15" t="s">
        <v>22</v>
      </c>
      <c r="D7" s="18" t="s">
        <v>27</v>
      </c>
      <c r="E7" s="14"/>
      <c r="F7" s="31">
        <v>46210</v>
      </c>
      <c r="G7" s="32">
        <f>F7+28</f>
        <v>46238</v>
      </c>
      <c r="H7" s="17" t="s">
        <v>43</v>
      </c>
      <c r="I7" s="17" t="s">
        <v>18</v>
      </c>
      <c r="J7" s="15"/>
      <c r="K7" s="15"/>
      <c r="L7" s="33"/>
      <c r="M7" s="41"/>
      <c r="N7" s="41"/>
      <c r="O7" s="41"/>
      <c r="P7" s="44" t="s">
        <v>9</v>
      </c>
      <c r="Q7" s="44" t="s">
        <v>45</v>
      </c>
      <c r="R7" s="41"/>
      <c r="S7" s="41"/>
      <c r="T7" s="41"/>
      <c r="U7" s="48"/>
      <c r="V7" s="6"/>
      <c r="W7" s="6"/>
      <c r="X7" s="6"/>
      <c r="Y7" s="26"/>
      <c r="Z7" s="6"/>
      <c r="AA7" s="6"/>
      <c r="AB7" s="7"/>
    </row>
    <row r="8" spans="1:40" ht="102" thickBot="1" x14ac:dyDescent="0.4">
      <c r="A8" s="14">
        <v>4</v>
      </c>
      <c r="B8" s="17" t="s">
        <v>19</v>
      </c>
      <c r="C8" s="15" t="s">
        <v>22</v>
      </c>
      <c r="D8" s="18" t="s">
        <v>27</v>
      </c>
      <c r="E8" s="14"/>
      <c r="F8" s="31">
        <v>46210</v>
      </c>
      <c r="G8" s="32">
        <f>F8+28</f>
        <v>46238</v>
      </c>
      <c r="H8" s="17" t="s">
        <v>43</v>
      </c>
      <c r="I8" s="17" t="s">
        <v>44</v>
      </c>
      <c r="J8" s="15"/>
      <c r="K8" s="15"/>
      <c r="L8" s="33"/>
      <c r="M8" s="41"/>
      <c r="N8" s="41"/>
      <c r="O8" s="41"/>
      <c r="P8" s="44" t="s">
        <v>9</v>
      </c>
      <c r="Q8" s="44" t="s">
        <v>47</v>
      </c>
      <c r="R8" s="41"/>
      <c r="S8" s="41"/>
      <c r="T8" s="41"/>
      <c r="U8" s="48"/>
      <c r="V8" s="6"/>
      <c r="W8" s="6"/>
      <c r="X8" s="6"/>
      <c r="Y8" s="26"/>
      <c r="Z8" s="6"/>
      <c r="AA8" s="6"/>
      <c r="AB8" s="7"/>
    </row>
    <row r="9" spans="1:40" ht="87.5" thickBot="1" x14ac:dyDescent="0.4">
      <c r="A9" s="14">
        <v>5</v>
      </c>
      <c r="B9" s="17" t="s">
        <v>16</v>
      </c>
      <c r="C9" s="15" t="s">
        <v>22</v>
      </c>
      <c r="D9" s="18" t="s">
        <v>28</v>
      </c>
      <c r="E9" s="14"/>
      <c r="F9" s="31">
        <v>46210</v>
      </c>
      <c r="G9" s="32">
        <f>F9+28</f>
        <v>46238</v>
      </c>
      <c r="H9" s="17" t="s">
        <v>43</v>
      </c>
      <c r="I9" s="17" t="s">
        <v>39</v>
      </c>
      <c r="J9" s="15"/>
      <c r="K9" s="15"/>
      <c r="L9" s="33"/>
      <c r="M9" s="41"/>
      <c r="N9" s="41"/>
      <c r="O9" s="41"/>
      <c r="P9" s="44" t="s">
        <v>9</v>
      </c>
      <c r="Q9" s="44" t="s">
        <v>6</v>
      </c>
      <c r="R9" s="41"/>
      <c r="S9" s="41"/>
      <c r="T9" s="41"/>
      <c r="U9" s="48"/>
      <c r="V9" s="6"/>
      <c r="W9" s="6"/>
      <c r="X9" s="6"/>
      <c r="Y9" s="26"/>
      <c r="Z9" s="6"/>
      <c r="AA9" s="6"/>
      <c r="AB9" s="7"/>
    </row>
    <row r="10" spans="1:40" ht="87.5" thickBot="1" x14ac:dyDescent="0.4">
      <c r="A10" s="14">
        <v>6</v>
      </c>
      <c r="B10" s="17" t="s">
        <v>21</v>
      </c>
      <c r="C10" s="15" t="s">
        <v>22</v>
      </c>
      <c r="D10" s="18" t="s">
        <v>49</v>
      </c>
      <c r="E10" s="14"/>
      <c r="F10" s="31">
        <v>46210</v>
      </c>
      <c r="G10" s="32">
        <f>F10+28</f>
        <v>46238</v>
      </c>
      <c r="H10" s="17" t="s">
        <v>36</v>
      </c>
      <c r="I10" s="17" t="s">
        <v>40</v>
      </c>
      <c r="J10" s="15"/>
      <c r="K10" s="15"/>
      <c r="L10" s="33"/>
      <c r="M10" s="41"/>
      <c r="N10" s="45">
        <v>46282</v>
      </c>
      <c r="O10" s="45">
        <f>N10+28</f>
        <v>46310</v>
      </c>
      <c r="P10" s="44" t="s">
        <v>9</v>
      </c>
      <c r="Q10" s="44" t="s">
        <v>45</v>
      </c>
      <c r="R10" s="42">
        <v>46304</v>
      </c>
      <c r="S10" s="41"/>
      <c r="T10" s="41"/>
      <c r="U10" s="48"/>
      <c r="V10" s="5"/>
      <c r="W10" s="5"/>
      <c r="X10" s="26"/>
      <c r="Y10" s="26"/>
      <c r="Z10" s="49"/>
      <c r="AA10" s="6"/>
      <c r="AB10" s="7"/>
    </row>
    <row r="11" spans="1:40" ht="87.5" thickBot="1" x14ac:dyDescent="0.4">
      <c r="A11" s="14">
        <v>7</v>
      </c>
      <c r="B11" s="17" t="s">
        <v>23</v>
      </c>
      <c r="C11" s="15" t="s">
        <v>22</v>
      </c>
      <c r="D11" s="18" t="s">
        <v>29</v>
      </c>
      <c r="E11" s="14"/>
      <c r="F11" s="31">
        <v>46211</v>
      </c>
      <c r="G11" s="32">
        <f>F11+28</f>
        <v>46239</v>
      </c>
      <c r="H11" s="17" t="s">
        <v>41</v>
      </c>
      <c r="I11" s="17" t="s">
        <v>42</v>
      </c>
      <c r="J11" s="15"/>
      <c r="K11" s="15"/>
      <c r="L11" s="33"/>
      <c r="M11" s="41"/>
      <c r="N11" s="41"/>
      <c r="O11" s="41"/>
      <c r="P11" s="44" t="s">
        <v>9</v>
      </c>
      <c r="Q11" s="44" t="s">
        <v>48</v>
      </c>
      <c r="R11" s="41"/>
      <c r="S11" s="41"/>
      <c r="T11" s="41"/>
      <c r="U11" s="48"/>
      <c r="V11" s="6"/>
      <c r="W11" s="6"/>
      <c r="X11" s="6"/>
      <c r="Y11" s="26"/>
      <c r="Z11" s="6"/>
      <c r="AA11" s="6"/>
      <c r="AB11" s="7"/>
    </row>
    <row r="12" spans="1:40" ht="87.5" thickBot="1" x14ac:dyDescent="0.4">
      <c r="A12" s="14">
        <v>8</v>
      </c>
      <c r="B12" s="17" t="s">
        <v>24</v>
      </c>
      <c r="C12" s="15" t="s">
        <v>22</v>
      </c>
      <c r="D12" s="18" t="s">
        <v>51</v>
      </c>
      <c r="E12" s="14"/>
      <c r="F12" s="31">
        <v>46211</v>
      </c>
      <c r="G12" s="32">
        <f>F12+28</f>
        <v>46239</v>
      </c>
      <c r="H12" s="17" t="s">
        <v>36</v>
      </c>
      <c r="I12" s="17" t="s">
        <v>38</v>
      </c>
      <c r="J12" s="15"/>
      <c r="K12" s="15"/>
      <c r="L12" s="33"/>
      <c r="M12" s="41"/>
      <c r="N12" s="42">
        <v>46275</v>
      </c>
      <c r="O12" s="42">
        <f>N12+28</f>
        <v>46303</v>
      </c>
      <c r="P12" s="44" t="s">
        <v>9</v>
      </c>
      <c r="Q12" s="44" t="s">
        <v>48</v>
      </c>
      <c r="R12" s="42">
        <v>46304</v>
      </c>
      <c r="S12" s="41"/>
      <c r="T12" s="41"/>
      <c r="U12" s="48"/>
      <c r="V12" s="6"/>
      <c r="W12" s="6"/>
      <c r="X12" s="49"/>
      <c r="Y12" s="26"/>
      <c r="Z12" s="6"/>
      <c r="AA12" s="6"/>
      <c r="AB12" s="7"/>
    </row>
    <row r="13" spans="1:40" ht="87.5" thickBot="1" x14ac:dyDescent="0.4">
      <c r="A13" s="14">
        <v>9</v>
      </c>
      <c r="B13" s="17" t="s">
        <v>25</v>
      </c>
      <c r="C13" s="15" t="s">
        <v>22</v>
      </c>
      <c r="D13" s="18" t="s">
        <v>30</v>
      </c>
      <c r="E13" s="14"/>
      <c r="F13" s="31">
        <v>46211</v>
      </c>
      <c r="G13" s="32">
        <f t="shared" ref="G13:G14" si="0">F13+28</f>
        <v>46239</v>
      </c>
      <c r="H13" s="17" t="s">
        <v>37</v>
      </c>
      <c r="I13" s="17" t="s">
        <v>39</v>
      </c>
      <c r="J13" s="15"/>
      <c r="K13" s="15"/>
      <c r="L13" s="33"/>
      <c r="M13" s="41"/>
      <c r="N13" s="41"/>
      <c r="O13" s="41"/>
      <c r="P13" s="44" t="s">
        <v>9</v>
      </c>
      <c r="Q13" s="44" t="s">
        <v>6</v>
      </c>
      <c r="R13" s="41"/>
      <c r="S13" s="41"/>
      <c r="T13" s="41"/>
      <c r="U13" s="48"/>
      <c r="V13" s="6"/>
      <c r="W13" s="6"/>
      <c r="X13" s="6"/>
      <c r="Y13" s="26"/>
      <c r="Z13" s="6"/>
      <c r="AA13" s="6"/>
      <c r="AB13" s="7"/>
    </row>
    <row r="14" spans="1:40" ht="87.5" thickBot="1" x14ac:dyDescent="0.4">
      <c r="A14" s="14">
        <v>10</v>
      </c>
      <c r="B14" s="17" t="s">
        <v>26</v>
      </c>
      <c r="C14" s="15" t="s">
        <v>22</v>
      </c>
      <c r="D14" s="18" t="s">
        <v>30</v>
      </c>
      <c r="E14" s="14"/>
      <c r="F14" s="31">
        <v>46211</v>
      </c>
      <c r="G14" s="32">
        <f t="shared" si="0"/>
        <v>46239</v>
      </c>
      <c r="H14" s="17" t="s">
        <v>37</v>
      </c>
      <c r="I14" s="17" t="s">
        <v>39</v>
      </c>
      <c r="J14" s="15"/>
      <c r="K14" s="15"/>
      <c r="L14" s="33"/>
      <c r="M14" s="41"/>
      <c r="N14" s="41"/>
      <c r="O14" s="41"/>
      <c r="P14" s="44" t="s">
        <v>9</v>
      </c>
      <c r="Q14" s="44" t="s">
        <v>6</v>
      </c>
      <c r="R14" s="41"/>
      <c r="S14" s="41"/>
      <c r="T14" s="41"/>
      <c r="U14" s="48"/>
      <c r="V14" s="6"/>
      <c r="W14" s="6"/>
      <c r="X14" s="6"/>
      <c r="Y14" s="26"/>
      <c r="Z14" s="6"/>
      <c r="AA14" s="6"/>
      <c r="AB14" s="7"/>
    </row>
    <row r="15" spans="1:40" ht="58.5" thickBot="1" x14ac:dyDescent="0.4">
      <c r="A15" s="14">
        <v>11</v>
      </c>
      <c r="B15" s="4" t="s">
        <v>31</v>
      </c>
      <c r="C15" s="15" t="s">
        <v>13</v>
      </c>
      <c r="D15" s="19"/>
      <c r="E15" s="14"/>
      <c r="F15" s="15"/>
      <c r="G15" s="15"/>
      <c r="H15" s="15"/>
      <c r="I15" s="15"/>
      <c r="J15" s="15"/>
      <c r="K15" s="15"/>
      <c r="L15" s="33"/>
      <c r="M15" s="41"/>
      <c r="N15" s="41"/>
      <c r="O15" s="41"/>
      <c r="P15" s="44" t="s">
        <v>9</v>
      </c>
      <c r="Q15" s="41"/>
      <c r="R15" s="41"/>
      <c r="S15" s="41"/>
      <c r="T15" s="41"/>
      <c r="U15" s="48"/>
      <c r="V15" s="6"/>
      <c r="W15" s="6"/>
      <c r="X15" s="6"/>
      <c r="Y15" s="6"/>
      <c r="Z15" s="6"/>
      <c r="AA15" s="6"/>
      <c r="AB15" s="7"/>
    </row>
    <row r="16" spans="1:40" ht="58.5" thickBot="1" x14ac:dyDescent="0.4">
      <c r="A16" s="20">
        <v>12</v>
      </c>
      <c r="B16" s="21" t="s">
        <v>32</v>
      </c>
      <c r="C16" s="22" t="s">
        <v>13</v>
      </c>
      <c r="D16" s="23"/>
      <c r="E16" s="34"/>
      <c r="F16" s="35"/>
      <c r="G16" s="35"/>
      <c r="H16" s="35"/>
      <c r="I16" s="35"/>
      <c r="J16" s="35"/>
      <c r="K16" s="35"/>
      <c r="L16" s="36"/>
      <c r="M16" s="41"/>
      <c r="N16" s="41"/>
      <c r="O16" s="41"/>
      <c r="P16" s="44" t="s">
        <v>9</v>
      </c>
      <c r="Q16" s="41"/>
      <c r="R16" s="41"/>
      <c r="S16" s="41"/>
      <c r="T16" s="41"/>
      <c r="U16" s="8"/>
      <c r="V16" s="9"/>
      <c r="W16" s="9"/>
      <c r="X16" s="9"/>
      <c r="Y16" s="9"/>
      <c r="Z16" s="9"/>
      <c r="AA16" s="9"/>
      <c r="AB16" s="10"/>
    </row>
    <row r="17" ht="15" thickTop="1" x14ac:dyDescent="0.35"/>
  </sheetData>
  <mergeCells count="10">
    <mergeCell ref="A1:G1"/>
    <mergeCell ref="AI3:AN3"/>
    <mergeCell ref="U3:AB3"/>
    <mergeCell ref="M3:T3"/>
    <mergeCell ref="E3:L3"/>
    <mergeCell ref="A3:A4"/>
    <mergeCell ref="B3:B4"/>
    <mergeCell ref="C3:C4"/>
    <mergeCell ref="D3:D4"/>
    <mergeCell ref="AC3:A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ZHANG (LTA)</dc:creator>
  <cp:lastModifiedBy>Jamie ZHANG (LTA)</cp:lastModifiedBy>
  <dcterms:created xsi:type="dcterms:W3CDTF">2026-09-18T08:52:47Z</dcterms:created>
  <dcterms:modified xsi:type="dcterms:W3CDTF">2026-09-22T09:59:39Z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2026-09-18T09:24:06Z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6177e9a4-820d-4700-8997-b7a5022110a5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